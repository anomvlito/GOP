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sebastianmolina/Desktop/Clases/Tarea 3/D_Tarea_3/"/>
    </mc:Choice>
  </mc:AlternateContent>
  <xr:revisionPtr revIDLastSave="221" documentId="13_ncr:1_{ADC5D26C-DCBB-A445-B6D2-BAD4065EDE59}" xr6:coauthVersionLast="47" xr6:coauthVersionMax="47" xr10:uidLastSave="{3A5EB5AB-E253-4792-8F1D-E19759CADE8E}"/>
  <bookViews>
    <workbookView xWindow="0" yWindow="660" windowWidth="30240" windowHeight="17980" firstSheet="1" activeTab="1" xr2:uid="{89A3C2AC-9FB0-624A-B124-092056217F62}"/>
  </bookViews>
  <sheets>
    <sheet name="Pregunta 1" sheetId="1" r:id="rId1"/>
    <sheet name="Pregunta 2" sheetId="2" r:id="rId2"/>
    <sheet name="Pregunta 3" sheetId="3" r:id="rId3"/>
  </sheets>
  <definedNames>
    <definedName name="_xlchart.v1.0" hidden="1">'Pregunta 1'!$C$13</definedName>
    <definedName name="_xlchart.v1.1" hidden="1">'Pregunta 1'!$C$14:$C$113</definedName>
    <definedName name="_xlchart.v1.2" hidden="1">'Pregunta 1'!$D$13</definedName>
    <definedName name="_xlchart.v1.3" hidden="1">'Pregunta 1'!$D$14:$D$113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" i="1" l="1"/>
  <c r="G38" i="1"/>
  <c r="H37" i="1"/>
  <c r="G37" i="1"/>
  <c r="H25" i="1"/>
  <c r="G25" i="1"/>
  <c r="H24" i="1"/>
  <c r="G24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J23" i="2"/>
  <c r="J24" i="2"/>
  <c r="J25" i="2"/>
  <c r="J26" i="2"/>
  <c r="J22" i="2"/>
  <c r="I23" i="2"/>
  <c r="I24" i="2"/>
  <c r="I25" i="2"/>
  <c r="I26" i="2"/>
  <c r="I22" i="2"/>
  <c r="H26" i="2"/>
  <c r="H23" i="2"/>
  <c r="H24" i="2"/>
  <c r="H25" i="2"/>
  <c r="H22" i="2"/>
  <c r="G23" i="2"/>
  <c r="G24" i="2"/>
  <c r="G25" i="2"/>
  <c r="G22" i="2"/>
  <c r="I18" i="2"/>
  <c r="H18" i="2"/>
  <c r="G18" i="2"/>
  <c r="G17" i="2"/>
  <c r="F18" i="2"/>
  <c r="F17" i="2"/>
  <c r="F3" i="2"/>
  <c r="E18" i="2"/>
  <c r="E17" i="2"/>
  <c r="G20" i="1" l="1"/>
  <c r="H20" i="1"/>
  <c r="G23" i="1"/>
  <c r="H23" i="1"/>
  <c r="G26" i="1"/>
  <c r="H26" i="1"/>
  <c r="H30" i="1" l="1"/>
  <c r="H32" i="1" s="1"/>
  <c r="H31" i="1"/>
  <c r="H33" i="1" s="1"/>
  <c r="G30" i="1"/>
  <c r="G32" i="1" s="1"/>
  <c r="G31" i="1"/>
  <c r="G33" i="1" s="1"/>
</calcChain>
</file>

<file path=xl/sharedStrings.xml><?xml version="1.0" encoding="utf-8"?>
<sst xmlns="http://schemas.openxmlformats.org/spreadsheetml/2006/main" count="219" uniqueCount="186">
  <si>
    <t>Pregunta: Variabilidad</t>
  </si>
  <si>
    <t>Parámetro</t>
  </si>
  <si>
    <t>Valor</t>
  </si>
  <si>
    <t>Unidad de medición</t>
  </si>
  <si>
    <t>Significado</t>
  </si>
  <si>
    <t>U_m</t>
  </si>
  <si>
    <t>adimensional</t>
  </si>
  <si>
    <t>capacidad camiones en espera de descarga</t>
  </si>
  <si>
    <t>P_m</t>
  </si>
  <si>
    <t>pesos</t>
  </si>
  <si>
    <t>multa por camión marchado sin descargar</t>
  </si>
  <si>
    <t>D_p</t>
  </si>
  <si>
    <t>bins/camión</t>
  </si>
  <si>
    <t>bin que transporta un camión</t>
  </si>
  <si>
    <t>i</t>
  </si>
  <si>
    <t>Min: 11, Prom: 12, Max 13.5</t>
  </si>
  <si>
    <t>bins/hora</t>
  </si>
  <si>
    <t>capacidad de estación deselección</t>
  </si>
  <si>
    <t>c</t>
  </si>
  <si>
    <t>Min: 10.5, Prom: 13, Max 14</t>
  </si>
  <si>
    <t>capacidad de estación de  embalaje</t>
  </si>
  <si>
    <t>n</t>
  </si>
  <si>
    <t>%</t>
  </si>
  <si>
    <t>porcentaje que es devuelto a selección</t>
  </si>
  <si>
    <t>alpha</t>
  </si>
  <si>
    <t>capacidad estación de calidad</t>
  </si>
  <si>
    <t>N</t>
  </si>
  <si>
    <t>Tiempo entre llegadas</t>
  </si>
  <si>
    <t>Tiempo de descargas</t>
  </si>
  <si>
    <t>Datos estadisticos</t>
  </si>
  <si>
    <t>Métrica</t>
  </si>
  <si>
    <t>Llegada</t>
  </si>
  <si>
    <t>Descarga</t>
  </si>
  <si>
    <t>Media</t>
  </si>
  <si>
    <t>Mediana</t>
  </si>
  <si>
    <t>Desv. estándar (muestral)</t>
  </si>
  <si>
    <t>Varianza (muestral)</t>
  </si>
  <si>
    <t>Coef. de variación</t>
  </si>
  <si>
    <t>Mínimo</t>
  </si>
  <si>
    <t>Máximo</t>
  </si>
  <si>
    <t>Rango</t>
  </si>
  <si>
    <t>Q1</t>
  </si>
  <si>
    <t>Q3</t>
  </si>
  <si>
    <t>IQR</t>
  </si>
  <si>
    <t>1. Validacion de datos</t>
  </si>
  <si>
    <t>Regla IQR 1.5</t>
  </si>
  <si>
    <t>Inferior</t>
  </si>
  <si>
    <t>Superior</t>
  </si>
  <si>
    <t>Datos Bajo Limite</t>
  </si>
  <si>
    <t>Datos Sobre Limite</t>
  </si>
  <si>
    <t>Asimetria</t>
  </si>
  <si>
    <t>Curtosis</t>
  </si>
  <si>
    <t>Cuello de botella</t>
  </si>
  <si>
    <t>Etapa </t>
  </si>
  <si>
    <t>Utilizacion </t>
  </si>
  <si>
    <r>
      <t>Tiempo en la cola Wq (min)</t>
    </r>
    <r>
      <rPr>
        <b/>
        <sz val="10"/>
        <color rgb="FFFFFFFF"/>
        <rFont val="Arial"/>
        <charset val="1"/>
      </rPr>
      <t> </t>
    </r>
  </si>
  <si>
    <r>
      <t>Trabajos en cola Lq</t>
    </r>
    <r>
      <rPr>
        <b/>
        <sz val="10"/>
        <color rgb="FFFFFFFF"/>
        <rFont val="Arial"/>
        <charset val="1"/>
      </rPr>
      <t> </t>
    </r>
  </si>
  <si>
    <t>Descarga </t>
  </si>
  <si>
    <r>
      <t>138.34</t>
    </r>
    <r>
      <rPr>
        <sz val="12"/>
        <color rgb="FF000000"/>
        <rFont val="Aptos Narrow"/>
        <charset val="1"/>
      </rPr>
      <t> </t>
    </r>
  </si>
  <si>
    <r>
      <t>2.29</t>
    </r>
    <r>
      <rPr>
        <sz val="12"/>
        <color rgb="FF000000"/>
        <rFont val="Aptos Narrow"/>
        <charset val="1"/>
      </rPr>
      <t> </t>
    </r>
  </si>
  <si>
    <t>Seleccion </t>
  </si>
  <si>
    <r>
      <t>63.83</t>
    </r>
    <r>
      <rPr>
        <sz val="12"/>
        <color rgb="FF000000"/>
        <rFont val="Aptos Narrow"/>
        <charset val="1"/>
      </rPr>
      <t> </t>
    </r>
  </si>
  <si>
    <r>
      <t>12.36</t>
    </r>
    <r>
      <rPr>
        <sz val="12"/>
        <color rgb="FF000000"/>
        <rFont val="Aptos Narrow"/>
        <charset val="1"/>
      </rPr>
      <t> </t>
    </r>
  </si>
  <si>
    <t>Embalaje </t>
  </si>
  <si>
    <r>
      <t>0.27</t>
    </r>
    <r>
      <rPr>
        <sz val="12"/>
        <color rgb="FF000000"/>
        <rFont val="Aptos Narrow"/>
        <charset val="1"/>
      </rPr>
      <t> </t>
    </r>
  </si>
  <si>
    <r>
      <t>0.05</t>
    </r>
    <r>
      <rPr>
        <sz val="12"/>
        <color rgb="FF000000"/>
        <rFont val="Aptos Narrow"/>
        <charset val="1"/>
      </rPr>
      <t> </t>
    </r>
  </si>
  <si>
    <t>Calidad </t>
  </si>
  <si>
    <r>
      <t>0</t>
    </r>
    <r>
      <rPr>
        <sz val="12"/>
        <color rgb="FF000000"/>
        <rFont val="Aptos Narrow"/>
        <charset val="1"/>
      </rPr>
      <t> </t>
    </r>
  </si>
  <si>
    <t>Parametros Generales</t>
  </si>
  <si>
    <t xml:space="preserve">Parámetro </t>
  </si>
  <si>
    <t>Simbolo</t>
  </si>
  <si>
    <t xml:space="preserve">Valor </t>
  </si>
  <si>
    <t>Unidad</t>
  </si>
  <si>
    <t>tiempo trabajo anual</t>
  </si>
  <si>
    <t>Demanda anual total</t>
  </si>
  <si>
    <t>Q</t>
  </si>
  <si>
    <t>pallets/año</t>
  </si>
  <si>
    <t>Sueldo mensual por operador</t>
  </si>
  <si>
    <t>sueldo</t>
  </si>
  <si>
    <t>$/mes</t>
  </si>
  <si>
    <t>Jornada diaria</t>
  </si>
  <si>
    <t>horas_día</t>
  </si>
  <si>
    <t>horas/día</t>
  </si>
  <si>
    <t>Días trabajados al año</t>
  </si>
  <si>
    <t>días_año</t>
  </si>
  <si>
    <t>días/año</t>
  </si>
  <si>
    <t>Dimensión frontal del pallet</t>
  </si>
  <si>
    <t>x</t>
  </si>
  <si>
    <t>m</t>
  </si>
  <si>
    <t>Dimensión de fondo del pallet</t>
  </si>
  <si>
    <t>y</t>
  </si>
  <si>
    <t>Altura útil de cámara</t>
  </si>
  <si>
    <t>h</t>
  </si>
  <si>
    <t>Ancho pasillo compartido</t>
  </si>
  <si>
    <t>p</t>
  </si>
  <si>
    <t>Separación mínima entre productos</t>
  </si>
  <si>
    <t>e</t>
  </si>
  <si>
    <t>Posiciones para reabastecimiento</t>
  </si>
  <si>
    <t>E</t>
  </si>
  <si>
    <t>posiciones</t>
  </si>
  <si>
    <t>Posiciones de pickeo frontal</t>
  </si>
  <si>
    <t>P</t>
  </si>
  <si>
    <t>Alternativa de cámara refrigerada</t>
  </si>
  <si>
    <t>Cámara</t>
  </si>
  <si>
    <t>Capacidad comercial (posiciones)</t>
  </si>
  <si>
    <t>Costo mensual por posición ($)</t>
  </si>
  <si>
    <t>Tiempo operación (min/pallet)</t>
  </si>
  <si>
    <t xml:space="preserve">rotacion </t>
  </si>
  <si>
    <t>personal</t>
  </si>
  <si>
    <t>costo mensual</t>
  </si>
  <si>
    <t>Norte</t>
  </si>
  <si>
    <t>t servicio hora pallets/hora)</t>
  </si>
  <si>
    <t>t servicio dia(pallet/dia)</t>
  </si>
  <si>
    <t>Poniente</t>
  </si>
  <si>
    <t>Datos por SKU</t>
  </si>
  <si>
    <t>SKU</t>
  </si>
  <si>
    <t>Producto</t>
  </si>
  <si>
    <t>Demanda anual D_i (pallet)</t>
  </si>
  <si>
    <t>Altura pallet z_i (m)</t>
  </si>
  <si>
    <t>Apilamiento max a_i</t>
  </si>
  <si>
    <t>Beneficio base pickeo g_i ($/pallet)</t>
  </si>
  <si>
    <t>maximo apilamiento factible</t>
  </si>
  <si>
    <t>pos. suelo</t>
  </si>
  <si>
    <t>superficie minima (m2)</t>
  </si>
  <si>
    <t>volumen asociado</t>
  </si>
  <si>
    <t>A</t>
  </si>
  <si>
    <t>Cerezas premium exportación</t>
  </si>
  <si>
    <t>B</t>
  </si>
  <si>
    <t>Arándanos</t>
  </si>
  <si>
    <t>C</t>
  </si>
  <si>
    <t>Uva de mesa</t>
  </si>
  <si>
    <t>D</t>
  </si>
  <si>
    <t>Ciruelas</t>
  </si>
  <si>
    <t>total</t>
  </si>
  <si>
    <t xml:space="preserve">Profundidades a evaluar </t>
  </si>
  <si>
    <t>Profundidad</t>
  </si>
  <si>
    <t>SKU A</t>
  </si>
  <si>
    <t>N carriles</t>
  </si>
  <si>
    <t>Frente bloque</t>
  </si>
  <si>
    <t>Fondo bloque</t>
  </si>
  <si>
    <t>Area almacenaje</t>
  </si>
  <si>
    <t>Parametros del plan de muestreo por atributo</t>
  </si>
  <si>
    <t>Tamaño de muestra</t>
  </si>
  <si>
    <t>tapas</t>
  </si>
  <si>
    <t>Máximo defectuosos aceptados</t>
  </si>
  <si>
    <t>Nivel de calidad aceptable</t>
  </si>
  <si>
    <t>AQL</t>
  </si>
  <si>
    <t>proporción</t>
  </si>
  <si>
    <t>Nivel de calidad límite tolerable</t>
  </si>
  <si>
    <t>LTPD</t>
  </si>
  <si>
    <t xml:space="preserve">Parámetros de llenado, cartas de control y capacidad </t>
  </si>
  <si>
    <t>Símbolo</t>
  </si>
  <si>
    <t>Volumen objetivo</t>
  </si>
  <si>
    <t>mu_0</t>
  </si>
  <si>
    <t>mL</t>
  </si>
  <si>
    <t>Tolerancia admisible</t>
  </si>
  <si>
    <t>T</t>
  </si>
  <si>
    <t>Tamaño de subgrupo</t>
  </si>
  <si>
    <t>r</t>
  </si>
  <si>
    <t>mediciones</t>
  </si>
  <si>
    <t>Constante carta Xbarra-R</t>
  </si>
  <si>
    <t>A2</t>
  </si>
  <si>
    <t>-</t>
  </si>
  <si>
    <t>Constante carta R</t>
  </si>
  <si>
    <t>D3</t>
  </si>
  <si>
    <t>D4</t>
  </si>
  <si>
    <t>Media actual estimada</t>
  </si>
  <si>
    <t>x_barra</t>
  </si>
  <si>
    <t>Desviación estándar actual estimada</t>
  </si>
  <si>
    <t>s</t>
  </si>
  <si>
    <t>Nueva desviación estándar</t>
  </si>
  <si>
    <t>s_nuevo</t>
  </si>
  <si>
    <t>Tamaño del lote a despachar</t>
  </si>
  <si>
    <t>botellas</t>
  </si>
  <si>
    <t>Costo fijo de despacho</t>
  </si>
  <si>
    <t>F</t>
  </si>
  <si>
    <t>$</t>
  </si>
  <si>
    <t>Multa por botella fuera de especificación</t>
  </si>
  <si>
    <t>$/botella</t>
  </si>
  <si>
    <t>Medición de columen por subgrupo (ml)</t>
  </si>
  <si>
    <t>Subgrupo</t>
  </si>
  <si>
    <t>Medición 1</t>
  </si>
  <si>
    <t>Medición 2</t>
  </si>
  <si>
    <t>Medición 3</t>
  </si>
  <si>
    <t>Medición 4</t>
  </si>
  <si>
    <t>Medición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</si>
</sst>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name val="Arial"/>
      <family val="2"/>
    </font>
    <font>
      <b/>
      <sz val="10"/>
      <color theme="1"/>
      <name val="Aptos Narrow"/>
      <scheme val="minor"/>
    </font>
    <font>
      <b/>
      <sz val="10"/>
      <color theme="0"/>
      <name val="Aptos Narrow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charset val="1"/>
    </font>
    <font>
      <sz val="12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45B0E1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 style="thin">
        <color rgb="FF000000"/>
      </right>
      <top style="thin">
        <color rgb="FF45B0E1"/>
      </top>
      <bottom style="thin">
        <color rgb="FF000000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1"/>
    <xf numFmtId="0" fontId="4" fillId="0" borderId="5" xfId="1" applyFont="1" applyBorder="1"/>
    <xf numFmtId="0" fontId="4" fillId="0" borderId="0" xfId="1" applyFont="1"/>
    <xf numFmtId="0" fontId="4" fillId="0" borderId="6" xfId="1" applyFont="1" applyBorder="1"/>
    <xf numFmtId="0" fontId="4" fillId="0" borderId="11" xfId="1" applyFont="1" applyBorder="1"/>
    <xf numFmtId="0" fontId="4" fillId="0" borderId="12" xfId="1" applyFont="1" applyBorder="1"/>
    <xf numFmtId="0" fontId="4" fillId="0" borderId="13" xfId="1" applyFont="1" applyBorder="1"/>
    <xf numFmtId="0" fontId="4" fillId="0" borderId="14" xfId="1" applyFont="1" applyBorder="1"/>
    <xf numFmtId="0" fontId="6" fillId="0" borderId="0" xfId="1" applyFont="1"/>
    <xf numFmtId="0" fontId="4" fillId="0" borderId="7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0" xfId="1" applyFont="1" applyAlignment="1">
      <alignment horizontal="center"/>
    </xf>
    <xf numFmtId="2" fontId="4" fillId="0" borderId="11" xfId="1" applyNumberFormat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2" fontId="4" fillId="0" borderId="13" xfId="1" applyNumberFormat="1" applyFont="1" applyBorder="1" applyAlignment="1">
      <alignment horizontal="center"/>
    </xf>
    <xf numFmtId="0" fontId="5" fillId="0" borderId="5" xfId="0" applyFont="1" applyBorder="1"/>
    <xf numFmtId="3" fontId="5" fillId="0" borderId="5" xfId="0" applyNumberFormat="1" applyFont="1" applyBorder="1"/>
    <xf numFmtId="0" fontId="3" fillId="0" borderId="5" xfId="1" applyBorder="1"/>
    <xf numFmtId="0" fontId="7" fillId="3" borderId="5" xfId="1" applyFont="1" applyFill="1" applyBorder="1"/>
    <xf numFmtId="0" fontId="8" fillId="3" borderId="5" xfId="0" applyFont="1" applyFill="1" applyBorder="1"/>
    <xf numFmtId="0" fontId="0" fillId="0" borderId="5" xfId="0" applyBorder="1"/>
    <xf numFmtId="164" fontId="0" fillId="0" borderId="5" xfId="0" applyNumberFormat="1" applyBorder="1"/>
    <xf numFmtId="0" fontId="9" fillId="4" borderId="16" xfId="0" applyFont="1" applyFill="1" applyBorder="1" applyAlignment="1">
      <alignment wrapText="1" readingOrder="1"/>
    </xf>
    <xf numFmtId="0" fontId="9" fillId="4" borderId="17" xfId="0" applyFont="1" applyFill="1" applyBorder="1" applyAlignment="1">
      <alignment wrapText="1" readingOrder="1"/>
    </xf>
    <xf numFmtId="0" fontId="10" fillId="0" borderId="18" xfId="0" applyFont="1" applyBorder="1" applyAlignment="1">
      <alignment wrapText="1" readingOrder="1"/>
    </xf>
    <xf numFmtId="0" fontId="10" fillId="0" borderId="19" xfId="0" applyFont="1" applyBorder="1" applyAlignment="1">
      <alignment wrapText="1" readingOrder="1"/>
    </xf>
    <xf numFmtId="0" fontId="10" fillId="0" borderId="20" xfId="0" applyFont="1" applyBorder="1" applyAlignment="1">
      <alignment wrapText="1" readingOrder="1"/>
    </xf>
    <xf numFmtId="0" fontId="10" fillId="0" borderId="21" xfId="0" applyFont="1" applyBorder="1" applyAlignment="1">
      <alignment wrapText="1" readingOrder="1"/>
    </xf>
    <xf numFmtId="0" fontId="9" fillId="4" borderId="9" xfId="0" applyFont="1" applyFill="1" applyBorder="1" applyAlignment="1">
      <alignment wrapText="1" readingOrder="1"/>
    </xf>
    <xf numFmtId="10" fontId="0" fillId="0" borderId="5" xfId="0" applyNumberFormat="1" applyBorder="1"/>
    <xf numFmtId="0" fontId="0" fillId="0" borderId="0" xfId="0" applyAlignment="1">
      <alignment horizontal="left"/>
    </xf>
    <xf numFmtId="0" fontId="4" fillId="0" borderId="2" xfId="1" applyFont="1" applyBorder="1" applyAlignment="1"/>
    <xf numFmtId="0" fontId="5" fillId="0" borderId="3" xfId="1" applyFont="1" applyBorder="1" applyAlignment="1"/>
    <xf numFmtId="0" fontId="5" fillId="0" borderId="4" xfId="1" applyFont="1" applyBorder="1" applyAlignment="1"/>
    <xf numFmtId="0" fontId="4" fillId="0" borderId="8" xfId="1" applyFont="1" applyBorder="1" applyAlignment="1"/>
    <xf numFmtId="0" fontId="5" fillId="0" borderId="9" xfId="1" applyFont="1" applyBorder="1" applyAlignment="1"/>
    <xf numFmtId="0" fontId="5" fillId="0" borderId="10" xfId="1" applyFont="1" applyBorder="1" applyAlignment="1"/>
    <xf numFmtId="0" fontId="4" fillId="0" borderId="7" xfId="1" applyFont="1" applyBorder="1" applyAlignment="1"/>
    <xf numFmtId="0" fontId="3" fillId="0" borderId="0" xfId="1" applyAlignment="1"/>
    <xf numFmtId="0" fontId="5" fillId="0" borderId="11" xfId="1" applyFont="1" applyBorder="1" applyAlignment="1"/>
    <xf numFmtId="0" fontId="4" fillId="0" borderId="0" xfId="1" applyFont="1" applyAlignment="1"/>
  </cellXfs>
  <cellStyles count="2">
    <cellStyle name="Normal" xfId="0" builtinId="0"/>
    <cellStyle name="Normal 2" xfId="1" xr:uid="{2BDBB1EC-4D25-4340-88DD-257571D3F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Utilizacion Sistema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'Pregunta 1'!$F$75:$F$78</c:f>
              <c:strCache>
                <c:ptCount val="4"/>
                <c:pt idx="0">
                  <c:v>Descarga </c:v>
                </c:pt>
                <c:pt idx="1">
                  <c:v>Seleccion </c:v>
                </c:pt>
                <c:pt idx="2">
                  <c:v>Embalaje </c:v>
                </c:pt>
                <c:pt idx="3">
                  <c:v>Calidad </c:v>
                </c:pt>
              </c:strCache>
            </c:strRef>
          </c:cat>
          <c:val>
            <c:numRef>
              <c:f>'Pregunta 1'!$G$75:$G$78</c:f>
              <c:numCache>
                <c:formatCode>0.00%</c:formatCode>
                <c:ptCount val="4"/>
                <c:pt idx="0">
                  <c:v>0.93200000000000005</c:v>
                </c:pt>
                <c:pt idx="1">
                  <c:v>0.89800000000000002</c:v>
                </c:pt>
                <c:pt idx="2">
                  <c:v>0.82799999999999996</c:v>
                </c:pt>
                <c:pt idx="3">
                  <c:v>0.73399999999999999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0-4FAB-9784-C0732E3B0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067848"/>
        <c:axId val="1908078088"/>
      </c:barChart>
      <c:catAx>
        <c:axId val="190806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78088"/>
        <c:crosses val="autoZero"/>
        <c:auto val="1"/>
        <c:lblAlgn val="ctr"/>
        <c:lblOffset val="100"/>
        <c:noMultiLvlLbl val="0"/>
      </c:catAx>
      <c:valAx>
        <c:axId val="190807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Tiempo de Llegadas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Histograma Tiempo de Llegadas</a:t>
          </a:r>
        </a:p>
      </cx:txPr>
    </cx:title>
    <cx:plotArea>
      <cx:plotAreaRegion>
        <cx:series layoutId="clusteredColumn" uniqueId="{00000000-2C90-40EB-984B-F6E42EFEE80D}">
          <cx:tx>
            <cx:txData>
              <cx:f>_xlchart.v1.0</cx:f>
              <cx:v>Tiempo entre llegadas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Histograma TIempo de Descargas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Histograma TIempo de Descargas</a:t>
          </a:r>
        </a:p>
      </cx:txPr>
    </cx:title>
    <cx:plotArea>
      <cx:plotAreaRegion>
        <cx:series layoutId="clusteredColumn" uniqueId="{00000000-9DA8-41FB-92ED-5D706E79E22F}">
          <cx:tx>
            <cx:txData>
              <cx:f>_xlchart.v1.2</cx:f>
              <cx:v>Tiempo de descargas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41</xdr:row>
      <xdr:rowOff>28575</xdr:rowOff>
    </xdr:from>
    <xdr:to>
      <xdr:col>9</xdr:col>
      <xdr:colOff>314325</xdr:colOff>
      <xdr:row>54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B214F9BB-0B06-99FD-B199-2A61CE6B5C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</xdr:colOff>
      <xdr:row>57</xdr:row>
      <xdr:rowOff>57150</xdr:rowOff>
    </xdr:from>
    <xdr:to>
      <xdr:col>9</xdr:col>
      <xdr:colOff>304800</xdr:colOff>
      <xdr:row>71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433BD14-C11F-0755-6AD3-78F186575B7D}"/>
                </a:ext>
                <a:ext uri="{147F2762-F138-4A5C-976F-8EAC2B608ADB}">
                  <a16:predDERef xmlns:a16="http://schemas.microsoft.com/office/drawing/2014/main" pred="{B214F9BB-0B06-99FD-B199-2A61CE6B5C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828675</xdr:colOff>
      <xdr:row>80</xdr:row>
      <xdr:rowOff>9525</xdr:rowOff>
    </xdr:from>
    <xdr:to>
      <xdr:col>10</xdr:col>
      <xdr:colOff>257175</xdr:colOff>
      <xdr:row>98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B78D1F7-C250-297E-9E6E-3E142BC6EF34}"/>
            </a:ext>
            <a:ext uri="{147F2762-F138-4A5C-976F-8EAC2B608ADB}">
              <a16:predDERef xmlns:a16="http://schemas.microsoft.com/office/drawing/2014/main" pred="{C433BD14-C11F-0755-6AD3-78F186575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22A4-C9BC-7D49-B745-074CD8115E7F}">
  <dimension ref="A2:I1048576"/>
  <sheetViews>
    <sheetView topLeftCell="A28" workbookViewId="0">
      <selection activeCell="Q73" sqref="Q73"/>
    </sheetView>
  </sheetViews>
  <sheetFormatPr defaultColWidth="11" defaultRowHeight="15.95"/>
  <cols>
    <col min="3" max="3" width="19.875" bestFit="1" customWidth="1"/>
    <col min="4" max="4" width="15" bestFit="1" customWidth="1"/>
    <col min="6" max="6" width="12.75" customWidth="1"/>
    <col min="7" max="8" width="16.75" customWidth="1"/>
  </cols>
  <sheetData>
    <row r="2" spans="1:8">
      <c r="A2" s="10"/>
      <c r="B2" s="44" t="s">
        <v>0</v>
      </c>
      <c r="C2" s="45"/>
      <c r="D2" s="45"/>
      <c r="E2" s="45"/>
      <c r="F2" s="46"/>
      <c r="G2" s="10"/>
      <c r="H2" s="10"/>
    </row>
    <row r="4" spans="1:8">
      <c r="A4" s="10"/>
      <c r="B4" s="11" t="s">
        <v>1</v>
      </c>
      <c r="C4" s="11" t="s">
        <v>2</v>
      </c>
      <c r="D4" s="11" t="s">
        <v>3</v>
      </c>
      <c r="E4" s="44" t="s">
        <v>4</v>
      </c>
      <c r="F4" s="45"/>
      <c r="G4" s="46"/>
      <c r="H4" s="10"/>
    </row>
    <row r="5" spans="1:8">
      <c r="A5" s="12"/>
      <c r="B5" s="13" t="s">
        <v>5</v>
      </c>
      <c r="C5" s="13">
        <v>4</v>
      </c>
      <c r="D5" s="19" t="s">
        <v>6</v>
      </c>
      <c r="E5" s="47" t="s">
        <v>7</v>
      </c>
      <c r="F5" s="48"/>
      <c r="G5" s="49"/>
      <c r="H5" s="10"/>
    </row>
    <row r="6" spans="1:8">
      <c r="A6" s="12"/>
      <c r="B6" s="13" t="s">
        <v>8</v>
      </c>
      <c r="C6" s="13">
        <v>35000</v>
      </c>
      <c r="D6" s="19" t="s">
        <v>9</v>
      </c>
      <c r="E6" s="50" t="s">
        <v>10</v>
      </c>
      <c r="F6" s="51"/>
      <c r="G6" s="52"/>
      <c r="H6" s="10"/>
    </row>
    <row r="7" spans="1:8">
      <c r="A7" s="12"/>
      <c r="B7" s="13" t="s">
        <v>11</v>
      </c>
      <c r="C7" s="13">
        <v>15</v>
      </c>
      <c r="D7" s="19" t="s">
        <v>12</v>
      </c>
      <c r="E7" s="50" t="s">
        <v>13</v>
      </c>
      <c r="F7" s="51"/>
      <c r="G7" s="52"/>
      <c r="H7" s="12"/>
    </row>
    <row r="8" spans="1:8">
      <c r="A8" s="12"/>
      <c r="B8" s="13" t="s">
        <v>14</v>
      </c>
      <c r="C8" s="13" t="s">
        <v>15</v>
      </c>
      <c r="D8" s="19" t="s">
        <v>16</v>
      </c>
      <c r="E8" s="50" t="s">
        <v>17</v>
      </c>
      <c r="F8" s="51"/>
      <c r="G8" s="52"/>
      <c r="H8" s="12"/>
    </row>
    <row r="9" spans="1:8">
      <c r="A9" s="12"/>
      <c r="B9" s="13" t="s">
        <v>18</v>
      </c>
      <c r="C9" s="13" t="s">
        <v>19</v>
      </c>
      <c r="D9" s="20" t="s">
        <v>16</v>
      </c>
      <c r="E9" s="50" t="s">
        <v>20</v>
      </c>
      <c r="F9" s="51"/>
      <c r="G9" s="52"/>
      <c r="H9" s="12"/>
    </row>
    <row r="10" spans="1:8">
      <c r="A10" s="12"/>
      <c r="B10" s="13" t="s">
        <v>21</v>
      </c>
      <c r="C10" s="14">
        <v>5</v>
      </c>
      <c r="D10" s="21" t="s">
        <v>22</v>
      </c>
      <c r="E10" s="53" t="s">
        <v>23</v>
      </c>
      <c r="F10" s="51"/>
      <c r="G10" s="52"/>
      <c r="H10" s="10"/>
    </row>
    <row r="11" spans="1:8">
      <c r="A11" s="12"/>
      <c r="B11" s="15" t="s">
        <v>24</v>
      </c>
      <c r="C11" s="16">
        <v>14</v>
      </c>
      <c r="D11" s="22" t="s">
        <v>16</v>
      </c>
      <c r="E11" s="17" t="s">
        <v>25</v>
      </c>
      <c r="F11" s="17"/>
      <c r="G11" s="16"/>
      <c r="H11" s="12"/>
    </row>
    <row r="13" spans="1:8">
      <c r="A13" s="10"/>
      <c r="B13" s="11" t="s">
        <v>26</v>
      </c>
      <c r="C13" s="11" t="s">
        <v>27</v>
      </c>
      <c r="D13" s="11" t="s">
        <v>28</v>
      </c>
      <c r="E13" s="10"/>
      <c r="F13" s="10" t="s">
        <v>29</v>
      </c>
      <c r="G13" s="10"/>
      <c r="H13" s="10"/>
    </row>
    <row r="14" spans="1:8" ht="15.75">
      <c r="A14" s="10"/>
      <c r="B14" s="19">
        <v>1</v>
      </c>
      <c r="C14" s="23">
        <v>52</v>
      </c>
      <c r="D14" s="24">
        <v>78.97</v>
      </c>
      <c r="E14" s="12"/>
      <c r="F14" s="32" t="s">
        <v>30</v>
      </c>
      <c r="G14" s="32" t="s">
        <v>31</v>
      </c>
      <c r="H14" s="32" t="s">
        <v>32</v>
      </c>
    </row>
    <row r="15" spans="1:8" ht="15.75">
      <c r="A15" s="10"/>
      <c r="B15" s="19">
        <v>2</v>
      </c>
      <c r="C15" s="23">
        <v>61</v>
      </c>
      <c r="D15" s="24">
        <v>65.709999999999994</v>
      </c>
      <c r="E15" s="12"/>
      <c r="F15" s="28" t="s">
        <v>21</v>
      </c>
      <c r="G15" s="28">
        <f>COUNT(C14:C113)</f>
        <v>100</v>
      </c>
      <c r="H15" s="28">
        <f>COUNT(D14:D113)</f>
        <v>100</v>
      </c>
    </row>
    <row r="16" spans="1:8" ht="15.75">
      <c r="A16" s="10"/>
      <c r="B16" s="19">
        <v>3</v>
      </c>
      <c r="C16" s="23">
        <v>47</v>
      </c>
      <c r="D16" s="24">
        <v>64.55</v>
      </c>
      <c r="E16" s="10"/>
      <c r="F16" s="28" t="s">
        <v>33</v>
      </c>
      <c r="G16" s="28">
        <f>AVERAGE(C14:C113)</f>
        <v>59.76</v>
      </c>
      <c r="H16" s="28">
        <f>AVERAGE(D14:D113)</f>
        <v>75.515200000000007</v>
      </c>
    </row>
    <row r="17" spans="2:8" ht="15.75">
      <c r="B17" s="19">
        <v>4</v>
      </c>
      <c r="C17" s="23">
        <v>57</v>
      </c>
      <c r="D17" s="24">
        <v>83.37</v>
      </c>
      <c r="E17" s="10"/>
      <c r="F17" s="28" t="s">
        <v>34</v>
      </c>
      <c r="G17" s="28">
        <f>MEDIAN(C14:C113)</f>
        <v>59.5</v>
      </c>
      <c r="H17" s="28">
        <f>MEDIAN(D14:D113)</f>
        <v>77.135000000000005</v>
      </c>
    </row>
    <row r="18" spans="2:8" ht="15.75">
      <c r="B18" s="19">
        <v>5</v>
      </c>
      <c r="C18" s="23">
        <v>56</v>
      </c>
      <c r="D18" s="24">
        <v>66.86</v>
      </c>
      <c r="E18" s="10"/>
      <c r="F18" s="28" t="s">
        <v>35</v>
      </c>
      <c r="G18" s="29">
        <f>STDEV(C14:C113)</f>
        <v>7.807171010802767</v>
      </c>
      <c r="H18" s="29">
        <f>STDEV(D14:D113)</f>
        <v>9.1363514677039284</v>
      </c>
    </row>
    <row r="19" spans="2:8" ht="15.75">
      <c r="B19" s="19">
        <v>6</v>
      </c>
      <c r="C19" s="23">
        <v>60</v>
      </c>
      <c r="D19" s="24">
        <v>62.32</v>
      </c>
      <c r="E19" s="10"/>
      <c r="F19" s="28" t="s">
        <v>36</v>
      </c>
      <c r="G19" s="29">
        <f>VAR(C14:C113)</f>
        <v>60.951919191919096</v>
      </c>
      <c r="H19" s="29">
        <f>VAR(D14:D113)</f>
        <v>83.472918141415732</v>
      </c>
    </row>
    <row r="20" spans="2:8" ht="15.75">
      <c r="B20" s="19">
        <v>7</v>
      </c>
      <c r="C20" s="23">
        <v>65</v>
      </c>
      <c r="D20" s="24">
        <v>81.64</v>
      </c>
      <c r="E20" s="10"/>
      <c r="F20" s="28" t="s">
        <v>37</v>
      </c>
      <c r="G20" s="28">
        <f>G18/G16</f>
        <v>0.13064208518746265</v>
      </c>
      <c r="H20" s="28">
        <f>H18/H16</f>
        <v>0.12098692008633927</v>
      </c>
    </row>
    <row r="21" spans="2:8" ht="15.75">
      <c r="B21" s="19">
        <v>8</v>
      </c>
      <c r="C21" s="23">
        <v>74</v>
      </c>
      <c r="D21" s="24">
        <v>61.7</v>
      </c>
      <c r="E21" s="10"/>
      <c r="F21" s="28" t="s">
        <v>38</v>
      </c>
      <c r="G21" s="28">
        <f>MIN(C14:C113)</f>
        <v>45</v>
      </c>
      <c r="H21" s="28">
        <f>MIN(D14:D113)</f>
        <v>60.89</v>
      </c>
    </row>
    <row r="22" spans="2:8" ht="15.75">
      <c r="B22" s="19">
        <v>9</v>
      </c>
      <c r="C22" s="23">
        <v>64</v>
      </c>
      <c r="D22" s="24">
        <v>83.77</v>
      </c>
      <c r="E22" s="10"/>
      <c r="F22" s="28" t="s">
        <v>39</v>
      </c>
      <c r="G22" s="28">
        <f>MAX(C14:C113)</f>
        <v>77</v>
      </c>
      <c r="H22" s="28">
        <f>MAX(D14:D113)</f>
        <v>89.54</v>
      </c>
    </row>
    <row r="23" spans="2:8" ht="15.75">
      <c r="B23" s="19">
        <v>10</v>
      </c>
      <c r="C23" s="23">
        <v>53</v>
      </c>
      <c r="D23" s="24">
        <v>80.010000000000005</v>
      </c>
      <c r="E23" s="10"/>
      <c r="F23" s="28" t="s">
        <v>40</v>
      </c>
      <c r="G23" s="28">
        <f>G22-G21</f>
        <v>32</v>
      </c>
      <c r="H23" s="28">
        <f>H22-H21</f>
        <v>28.650000000000006</v>
      </c>
    </row>
    <row r="24" spans="2:8" ht="15.75">
      <c r="B24" s="19">
        <v>11</v>
      </c>
      <c r="C24" s="23">
        <v>68</v>
      </c>
      <c r="D24" s="24">
        <v>63.14</v>
      </c>
      <c r="E24" s="10"/>
      <c r="F24" s="28" t="s">
        <v>41</v>
      </c>
      <c r="G24" s="28">
        <f>QUARTILE(C14:C113,1)</f>
        <v>53.75</v>
      </c>
      <c r="H24" s="28">
        <f>QUARTILE(D14:D113,1)</f>
        <v>66.372500000000002</v>
      </c>
    </row>
    <row r="25" spans="2:8" ht="15.75">
      <c r="B25" s="19">
        <v>12</v>
      </c>
      <c r="C25" s="23">
        <v>58</v>
      </c>
      <c r="D25" s="24">
        <v>61.1</v>
      </c>
      <c r="E25" s="10"/>
      <c r="F25" s="28" t="s">
        <v>42</v>
      </c>
      <c r="G25" s="28">
        <f>QUARTILE(C14:C113,3)</f>
        <v>65</v>
      </c>
      <c r="H25" s="28">
        <f>QUARTILE(D14:D113,3)</f>
        <v>83.775000000000006</v>
      </c>
    </row>
    <row r="26" spans="2:8" ht="15.75">
      <c r="B26" s="19">
        <v>13</v>
      </c>
      <c r="C26" s="23">
        <v>75</v>
      </c>
      <c r="D26" s="24">
        <v>75.709999999999994</v>
      </c>
      <c r="E26" s="10"/>
      <c r="F26" s="28" t="s">
        <v>43</v>
      </c>
      <c r="G26" s="28">
        <f>G25-G24</f>
        <v>11.25</v>
      </c>
      <c r="H26" s="28">
        <f>H25-H24</f>
        <v>17.402500000000003</v>
      </c>
    </row>
    <row r="27" spans="2:8">
      <c r="B27" s="19">
        <v>14</v>
      </c>
      <c r="C27" s="23">
        <v>45</v>
      </c>
      <c r="D27" s="24">
        <v>87.59</v>
      </c>
      <c r="E27" s="10"/>
      <c r="F27" s="10"/>
      <c r="G27" s="10"/>
      <c r="H27" s="10"/>
    </row>
    <row r="28" spans="2:8">
      <c r="B28" s="19">
        <v>15</v>
      </c>
      <c r="C28" s="23">
        <v>67</v>
      </c>
      <c r="D28" s="24">
        <v>69.45</v>
      </c>
      <c r="E28" s="10"/>
      <c r="F28" s="10" t="s">
        <v>44</v>
      </c>
      <c r="G28" s="10"/>
      <c r="H28" s="10"/>
    </row>
    <row r="29" spans="2:8">
      <c r="B29" s="19">
        <v>16</v>
      </c>
      <c r="C29" s="23">
        <v>52</v>
      </c>
      <c r="D29" s="24">
        <v>84.24</v>
      </c>
      <c r="E29" s="10"/>
      <c r="F29" s="18" t="s">
        <v>45</v>
      </c>
      <c r="G29" s="10"/>
      <c r="H29" s="10"/>
    </row>
    <row r="30" spans="2:8" ht="15.75">
      <c r="B30" s="19">
        <v>17</v>
      </c>
      <c r="C30" s="23">
        <v>61</v>
      </c>
      <c r="D30" s="24">
        <v>63.77</v>
      </c>
      <c r="E30" s="10"/>
      <c r="F30" s="31" t="s">
        <v>46</v>
      </c>
      <c r="G30" s="30">
        <f>G24-1.5*G26</f>
        <v>36.875</v>
      </c>
      <c r="H30" s="30">
        <f>H24-1.5*H26</f>
        <v>40.268749999999997</v>
      </c>
    </row>
    <row r="31" spans="2:8" ht="15.75">
      <c r="B31" s="19">
        <v>18</v>
      </c>
      <c r="C31" s="23">
        <v>60</v>
      </c>
      <c r="D31" s="24">
        <v>84.14</v>
      </c>
      <c r="E31" s="10"/>
      <c r="F31" s="31" t="s">
        <v>47</v>
      </c>
      <c r="G31" s="30">
        <f>G25+1.5*G26</f>
        <v>81.875</v>
      </c>
      <c r="H31" s="30">
        <f>H25+1.5*H26</f>
        <v>109.87875000000001</v>
      </c>
    </row>
    <row r="32" spans="2:8" ht="15.75">
      <c r="B32" s="19">
        <v>19</v>
      </c>
      <c r="C32" s="23">
        <v>51</v>
      </c>
      <c r="D32" s="24">
        <v>87.31</v>
      </c>
      <c r="E32" s="10"/>
      <c r="F32" s="31" t="s">
        <v>48</v>
      </c>
      <c r="G32" s="30">
        <f>COUNTIF(C14:C113,"&lt;"&amp;G30)</f>
        <v>0</v>
      </c>
      <c r="H32" s="30">
        <f>COUNTIF(D14:D113,"&lt;"&amp;H30)</f>
        <v>0</v>
      </c>
    </row>
    <row r="33" spans="2:8" ht="15.75">
      <c r="B33" s="19">
        <v>20</v>
      </c>
      <c r="C33" s="23">
        <v>49</v>
      </c>
      <c r="D33" s="24">
        <v>68.66</v>
      </c>
      <c r="F33" s="31" t="s">
        <v>49</v>
      </c>
      <c r="G33" s="30">
        <f>COUNTIF(C14:C113,"&gt;"&amp;G31)</f>
        <v>0</v>
      </c>
      <c r="H33" s="30">
        <f>COUNTIF(D14:D113,"&gt;"&amp;H31)</f>
        <v>0</v>
      </c>
    </row>
    <row r="34" spans="2:8" ht="15.75">
      <c r="B34" s="19">
        <v>21</v>
      </c>
      <c r="C34" s="23">
        <v>60</v>
      </c>
      <c r="D34" s="24">
        <v>66.41</v>
      </c>
      <c r="H34" s="10"/>
    </row>
    <row r="35" spans="2:8">
      <c r="B35" s="19">
        <v>22</v>
      </c>
      <c r="C35" s="23">
        <v>64</v>
      </c>
      <c r="D35" s="24">
        <v>83.39</v>
      </c>
    </row>
    <row r="36" spans="2:8" ht="15.75">
      <c r="B36" s="19">
        <v>23</v>
      </c>
      <c r="C36" s="23">
        <v>53</v>
      </c>
      <c r="D36" s="24">
        <v>83.79</v>
      </c>
      <c r="F36" s="32" t="s">
        <v>30</v>
      </c>
      <c r="G36" s="32" t="s">
        <v>31</v>
      </c>
      <c r="H36" s="32" t="s">
        <v>32</v>
      </c>
    </row>
    <row r="37" spans="2:8">
      <c r="B37" s="19">
        <v>24</v>
      </c>
      <c r="C37" s="23">
        <v>58</v>
      </c>
      <c r="D37" s="24">
        <v>89.54</v>
      </c>
      <c r="F37" s="33" t="s">
        <v>50</v>
      </c>
      <c r="G37" s="34">
        <f>SKEW(C14:C113)</f>
        <v>0.13572207249528639</v>
      </c>
      <c r="H37" s="34">
        <f>SKEW(D14:D113)</f>
        <v>-9.7502994031273438E-2</v>
      </c>
    </row>
    <row r="38" spans="2:8">
      <c r="B38" s="19">
        <v>25</v>
      </c>
      <c r="C38" s="23">
        <v>64</v>
      </c>
      <c r="D38" s="24">
        <v>70.06</v>
      </c>
      <c r="F38" s="33" t="s">
        <v>51</v>
      </c>
      <c r="G38" s="34">
        <f>KURT(C14:C113)</f>
        <v>-0.62476392587219065</v>
      </c>
      <c r="H38" s="34">
        <f>KURT(D14:D113)</f>
        <v>-1.4148922330789135</v>
      </c>
    </row>
    <row r="39" spans="2:8">
      <c r="B39" s="19">
        <v>26</v>
      </c>
      <c r="C39" s="23">
        <v>62</v>
      </c>
      <c r="D39" s="24">
        <v>88.97</v>
      </c>
    </row>
    <row r="40" spans="2:8">
      <c r="B40" s="19">
        <v>27</v>
      </c>
      <c r="C40" s="23">
        <v>59</v>
      </c>
      <c r="D40" s="24">
        <v>64.44</v>
      </c>
    </row>
    <row r="41" spans="2:8">
      <c r="B41" s="19">
        <v>28</v>
      </c>
      <c r="C41" s="23">
        <v>55</v>
      </c>
      <c r="D41" s="24">
        <v>85.52</v>
      </c>
    </row>
    <row r="42" spans="2:8">
      <c r="B42" s="19">
        <v>29</v>
      </c>
      <c r="C42" s="23">
        <v>58</v>
      </c>
      <c r="D42" s="24">
        <v>87.19</v>
      </c>
    </row>
    <row r="43" spans="2:8">
      <c r="B43" s="19">
        <v>30</v>
      </c>
      <c r="C43" s="23">
        <v>69</v>
      </c>
      <c r="D43" s="24">
        <v>85.97</v>
      </c>
    </row>
    <row r="44" spans="2:8">
      <c r="B44" s="19">
        <v>31</v>
      </c>
      <c r="C44" s="23">
        <v>56</v>
      </c>
      <c r="D44" s="24">
        <v>69.81</v>
      </c>
    </row>
    <row r="45" spans="2:8">
      <c r="B45" s="19">
        <v>32</v>
      </c>
      <c r="C45" s="23">
        <v>46</v>
      </c>
      <c r="D45" s="24">
        <v>78.47</v>
      </c>
    </row>
    <row r="46" spans="2:8">
      <c r="B46" s="19">
        <v>33</v>
      </c>
      <c r="C46" s="23">
        <v>62</v>
      </c>
      <c r="D46" s="24">
        <v>81.8</v>
      </c>
    </row>
    <row r="47" spans="2:8">
      <c r="B47" s="19">
        <v>34</v>
      </c>
      <c r="C47" s="23">
        <v>50</v>
      </c>
      <c r="D47" s="24">
        <v>62.27</v>
      </c>
    </row>
    <row r="48" spans="2:8">
      <c r="B48" s="19">
        <v>35</v>
      </c>
      <c r="C48" s="23">
        <v>47</v>
      </c>
      <c r="D48" s="24">
        <v>83.83</v>
      </c>
    </row>
    <row r="49" spans="2:4">
      <c r="B49" s="19">
        <v>36</v>
      </c>
      <c r="C49" s="23">
        <v>57</v>
      </c>
      <c r="D49" s="24">
        <v>70.56</v>
      </c>
    </row>
    <row r="50" spans="2:4">
      <c r="B50" s="19">
        <v>37</v>
      </c>
      <c r="C50" s="23">
        <v>65</v>
      </c>
      <c r="D50" s="24">
        <v>63.13</v>
      </c>
    </row>
    <row r="51" spans="2:4">
      <c r="B51" s="19">
        <v>38</v>
      </c>
      <c r="C51" s="23">
        <v>59</v>
      </c>
      <c r="D51" s="24">
        <v>87.23</v>
      </c>
    </row>
    <row r="52" spans="2:4">
      <c r="B52" s="19">
        <v>39</v>
      </c>
      <c r="C52" s="23">
        <v>52</v>
      </c>
      <c r="D52" s="24">
        <v>64.180000000000007</v>
      </c>
    </row>
    <row r="53" spans="2:4">
      <c r="B53" s="19">
        <v>40</v>
      </c>
      <c r="C53" s="23">
        <v>61</v>
      </c>
      <c r="D53" s="24">
        <v>64.260000000000005</v>
      </c>
    </row>
    <row r="54" spans="2:4">
      <c r="B54" s="19">
        <v>41</v>
      </c>
      <c r="C54" s="23">
        <v>70</v>
      </c>
      <c r="D54" s="24">
        <v>65.040000000000006</v>
      </c>
    </row>
    <row r="55" spans="2:4">
      <c r="B55" s="19">
        <v>42</v>
      </c>
      <c r="C55" s="23">
        <v>48</v>
      </c>
      <c r="D55" s="24">
        <v>88.37</v>
      </c>
    </row>
    <row r="56" spans="2:4">
      <c r="B56" s="19">
        <v>43</v>
      </c>
      <c r="C56" s="23">
        <v>63</v>
      </c>
      <c r="D56" s="24">
        <v>72.5</v>
      </c>
    </row>
    <row r="57" spans="2:4">
      <c r="B57" s="19">
        <v>44</v>
      </c>
      <c r="C57" s="23">
        <v>64</v>
      </c>
      <c r="D57" s="24">
        <v>68.540000000000006</v>
      </c>
    </row>
    <row r="58" spans="2:4">
      <c r="B58" s="19">
        <v>45</v>
      </c>
      <c r="C58" s="23">
        <v>65</v>
      </c>
      <c r="D58" s="24">
        <v>88.28</v>
      </c>
    </row>
    <row r="59" spans="2:4">
      <c r="B59" s="19">
        <v>46</v>
      </c>
      <c r="C59" s="23">
        <v>51</v>
      </c>
      <c r="D59" s="24">
        <v>84.4</v>
      </c>
    </row>
    <row r="60" spans="2:4">
      <c r="B60" s="19">
        <v>47</v>
      </c>
      <c r="C60" s="23">
        <v>72</v>
      </c>
      <c r="D60" s="24">
        <v>62.56</v>
      </c>
    </row>
    <row r="61" spans="2:4">
      <c r="B61" s="19">
        <v>48</v>
      </c>
      <c r="C61" s="23">
        <v>57</v>
      </c>
      <c r="D61" s="24">
        <v>87.15</v>
      </c>
    </row>
    <row r="62" spans="2:4">
      <c r="B62" s="19">
        <v>49</v>
      </c>
      <c r="C62" s="23">
        <v>73</v>
      </c>
      <c r="D62" s="24">
        <v>71.25</v>
      </c>
    </row>
    <row r="63" spans="2:4">
      <c r="B63" s="19">
        <v>50</v>
      </c>
      <c r="C63" s="23">
        <v>65</v>
      </c>
      <c r="D63" s="24">
        <v>66.12</v>
      </c>
    </row>
    <row r="64" spans="2:4">
      <c r="B64" s="19">
        <v>51</v>
      </c>
      <c r="C64" s="23">
        <v>56</v>
      </c>
      <c r="D64" s="24">
        <v>74.27</v>
      </c>
    </row>
    <row r="65" spans="2:9">
      <c r="B65" s="19">
        <v>52</v>
      </c>
      <c r="C65" s="23">
        <v>60</v>
      </c>
      <c r="D65" s="24">
        <v>83.69</v>
      </c>
    </row>
    <row r="66" spans="2:9">
      <c r="B66" s="19">
        <v>53</v>
      </c>
      <c r="C66" s="23">
        <v>62</v>
      </c>
      <c r="D66" s="24">
        <v>82.19</v>
      </c>
    </row>
    <row r="67" spans="2:9">
      <c r="B67" s="19">
        <v>54</v>
      </c>
      <c r="C67" s="23">
        <v>66</v>
      </c>
      <c r="D67" s="24">
        <v>70.989999999999995</v>
      </c>
    </row>
    <row r="68" spans="2:9">
      <c r="B68" s="19">
        <v>55</v>
      </c>
      <c r="C68" s="23">
        <v>70</v>
      </c>
      <c r="D68" s="24">
        <v>79.34</v>
      </c>
    </row>
    <row r="69" spans="2:9">
      <c r="B69" s="19">
        <v>56</v>
      </c>
      <c r="C69" s="23">
        <v>64</v>
      </c>
      <c r="D69" s="24">
        <v>82.06</v>
      </c>
    </row>
    <row r="70" spans="2:9">
      <c r="B70" s="19">
        <v>57</v>
      </c>
      <c r="C70" s="23">
        <v>60</v>
      </c>
      <c r="D70" s="24">
        <v>77.290000000000006</v>
      </c>
    </row>
    <row r="71" spans="2:9">
      <c r="B71" s="19">
        <v>58</v>
      </c>
      <c r="C71" s="23">
        <v>62</v>
      </c>
      <c r="D71" s="24">
        <v>86.73</v>
      </c>
    </row>
    <row r="72" spans="2:9">
      <c r="B72" s="19">
        <v>59</v>
      </c>
      <c r="C72" s="23">
        <v>57</v>
      </c>
      <c r="D72" s="24">
        <v>71.45</v>
      </c>
    </row>
    <row r="73" spans="2:9">
      <c r="B73" s="19">
        <v>60</v>
      </c>
      <c r="C73" s="23">
        <v>68</v>
      </c>
      <c r="D73" s="24">
        <v>80.91</v>
      </c>
      <c r="F73">
        <v>4</v>
      </c>
      <c r="G73" t="s">
        <v>52</v>
      </c>
    </row>
    <row r="74" spans="2:9" ht="24">
      <c r="B74" s="19">
        <v>61</v>
      </c>
      <c r="C74" s="23">
        <v>47</v>
      </c>
      <c r="D74" s="24">
        <v>84.22</v>
      </c>
      <c r="F74" s="41" t="s">
        <v>53</v>
      </c>
      <c r="G74" s="41" t="s">
        <v>54</v>
      </c>
      <c r="H74" s="35" t="s">
        <v>55</v>
      </c>
      <c r="I74" s="36" t="s">
        <v>56</v>
      </c>
    </row>
    <row r="75" spans="2:9" ht="15.75">
      <c r="B75" s="19">
        <v>62</v>
      </c>
      <c r="C75" s="23">
        <v>55</v>
      </c>
      <c r="D75" s="24">
        <v>88.65</v>
      </c>
      <c r="F75" s="33" t="s">
        <v>57</v>
      </c>
      <c r="G75" s="42">
        <v>0.93200000000000005</v>
      </c>
      <c r="H75" s="39" t="s">
        <v>58</v>
      </c>
      <c r="I75" s="37" t="s">
        <v>59</v>
      </c>
    </row>
    <row r="76" spans="2:9" ht="15.75">
      <c r="B76" s="19">
        <v>63</v>
      </c>
      <c r="C76" s="23">
        <v>61</v>
      </c>
      <c r="D76" s="24">
        <v>78.84</v>
      </c>
      <c r="F76" s="33" t="s">
        <v>60</v>
      </c>
      <c r="G76" s="42">
        <v>0.89800000000000002</v>
      </c>
      <c r="H76" s="39" t="s">
        <v>61</v>
      </c>
      <c r="I76" s="37" t="s">
        <v>62</v>
      </c>
    </row>
    <row r="77" spans="2:9" ht="15.75">
      <c r="B77" s="19">
        <v>64</v>
      </c>
      <c r="C77" s="23">
        <v>68</v>
      </c>
      <c r="D77" s="24">
        <v>68.55</v>
      </c>
      <c r="F77" s="33" t="s">
        <v>63</v>
      </c>
      <c r="G77" s="42">
        <v>0.82799999999999996</v>
      </c>
      <c r="H77" s="39" t="s">
        <v>64</v>
      </c>
      <c r="I77" s="37" t="s">
        <v>65</v>
      </c>
    </row>
    <row r="78" spans="2:9" ht="15.75">
      <c r="B78" s="19">
        <v>65</v>
      </c>
      <c r="C78" s="23">
        <v>60</v>
      </c>
      <c r="D78" s="24">
        <v>64.47</v>
      </c>
      <c r="F78" s="33" t="s">
        <v>66</v>
      </c>
      <c r="G78" s="42">
        <v>0.73399999999999999</v>
      </c>
      <c r="H78" s="40" t="s">
        <v>67</v>
      </c>
      <c r="I78" s="38" t="s">
        <v>67</v>
      </c>
    </row>
    <row r="79" spans="2:9">
      <c r="B79" s="19">
        <v>66</v>
      </c>
      <c r="C79" s="23">
        <v>59</v>
      </c>
      <c r="D79" s="24">
        <v>80.87</v>
      </c>
    </row>
    <row r="80" spans="2:9" ht="15.75">
      <c r="B80" s="19">
        <v>67</v>
      </c>
      <c r="C80" s="23">
        <v>58</v>
      </c>
      <c r="D80" s="24">
        <v>83.08</v>
      </c>
    </row>
    <row r="81" spans="2:4" ht="15.75">
      <c r="B81" s="19">
        <v>68</v>
      </c>
      <c r="C81" s="23">
        <v>54</v>
      </c>
      <c r="D81" s="24">
        <v>87.45</v>
      </c>
    </row>
    <row r="82" spans="2:4" ht="15.75">
      <c r="B82" s="19">
        <v>69</v>
      </c>
      <c r="C82" s="23">
        <v>70</v>
      </c>
      <c r="D82" s="24">
        <v>71</v>
      </c>
    </row>
    <row r="83" spans="2:4" ht="15.75">
      <c r="B83" s="19">
        <v>70</v>
      </c>
      <c r="C83" s="23">
        <v>53</v>
      </c>
      <c r="D83" s="24">
        <v>85.75</v>
      </c>
    </row>
    <row r="84" spans="2:4" ht="15.75">
      <c r="B84" s="19">
        <v>71</v>
      </c>
      <c r="C84" s="23">
        <v>56</v>
      </c>
      <c r="D84" s="24">
        <v>72.930000000000007</v>
      </c>
    </row>
    <row r="85" spans="2:4">
      <c r="B85" s="19">
        <v>72</v>
      </c>
      <c r="C85" s="23">
        <v>45</v>
      </c>
      <c r="D85" s="24">
        <v>82.47</v>
      </c>
    </row>
    <row r="86" spans="2:4">
      <c r="B86" s="19">
        <v>73</v>
      </c>
      <c r="C86" s="23">
        <v>77</v>
      </c>
      <c r="D86" s="24">
        <v>76.98</v>
      </c>
    </row>
    <row r="87" spans="2:4">
      <c r="B87" s="19">
        <v>74</v>
      </c>
      <c r="C87" s="23">
        <v>58</v>
      </c>
      <c r="D87" s="24">
        <v>75.31</v>
      </c>
    </row>
    <row r="88" spans="2:4">
      <c r="B88" s="19">
        <v>75</v>
      </c>
      <c r="C88" s="23">
        <v>72</v>
      </c>
      <c r="D88" s="24">
        <v>61.55</v>
      </c>
    </row>
    <row r="89" spans="2:4">
      <c r="B89" s="19">
        <v>76</v>
      </c>
      <c r="C89" s="23">
        <v>67</v>
      </c>
      <c r="D89" s="24">
        <v>72.2</v>
      </c>
    </row>
    <row r="90" spans="2:4">
      <c r="B90" s="19">
        <v>77</v>
      </c>
      <c r="C90" s="23">
        <v>73</v>
      </c>
      <c r="D90" s="24">
        <v>80.400000000000006</v>
      </c>
    </row>
    <row r="91" spans="2:4">
      <c r="B91" s="19">
        <v>78</v>
      </c>
      <c r="C91" s="23">
        <v>59</v>
      </c>
      <c r="D91" s="24">
        <v>73.430000000000007</v>
      </c>
    </row>
    <row r="92" spans="2:4">
      <c r="B92" s="19">
        <v>79</v>
      </c>
      <c r="C92" s="23">
        <v>52</v>
      </c>
      <c r="D92" s="24">
        <v>89</v>
      </c>
    </row>
    <row r="93" spans="2:4">
      <c r="B93" s="19">
        <v>80</v>
      </c>
      <c r="C93" s="23">
        <v>59</v>
      </c>
      <c r="D93" s="24">
        <v>80.86</v>
      </c>
    </row>
    <row r="94" spans="2:4">
      <c r="B94" s="19">
        <v>81</v>
      </c>
      <c r="C94" s="23">
        <v>52</v>
      </c>
      <c r="D94" s="24">
        <v>87.57</v>
      </c>
    </row>
    <row r="95" spans="2:4">
      <c r="B95" s="19">
        <v>82</v>
      </c>
      <c r="C95" s="23">
        <v>64</v>
      </c>
      <c r="D95" s="24">
        <v>78.77</v>
      </c>
    </row>
    <row r="96" spans="2:4">
      <c r="B96" s="19">
        <v>83</v>
      </c>
      <c r="C96" s="23">
        <v>55</v>
      </c>
      <c r="D96" s="24">
        <v>66.260000000000005</v>
      </c>
    </row>
    <row r="97" spans="2:4">
      <c r="B97" s="19">
        <v>84</v>
      </c>
      <c r="C97" s="23">
        <v>46</v>
      </c>
      <c r="D97" s="24">
        <v>78.81</v>
      </c>
    </row>
    <row r="98" spans="2:4">
      <c r="B98" s="19">
        <v>85</v>
      </c>
      <c r="C98" s="23">
        <v>68</v>
      </c>
      <c r="D98" s="24">
        <v>61.88</v>
      </c>
    </row>
    <row r="99" spans="2:4">
      <c r="B99" s="19">
        <v>86</v>
      </c>
      <c r="C99" s="23">
        <v>56</v>
      </c>
      <c r="D99" s="24">
        <v>63.66</v>
      </c>
    </row>
    <row r="100" spans="2:4">
      <c r="B100" s="19">
        <v>87</v>
      </c>
      <c r="C100" s="23">
        <v>51</v>
      </c>
      <c r="D100" s="24">
        <v>68.8</v>
      </c>
    </row>
    <row r="101" spans="2:4">
      <c r="B101" s="19">
        <v>88</v>
      </c>
      <c r="C101" s="23">
        <v>58</v>
      </c>
      <c r="D101" s="24">
        <v>60.89</v>
      </c>
    </row>
    <row r="102" spans="2:4">
      <c r="B102" s="19">
        <v>89</v>
      </c>
      <c r="C102" s="23">
        <v>52</v>
      </c>
      <c r="D102" s="24">
        <v>71.239999999999995</v>
      </c>
    </row>
    <row r="103" spans="2:4">
      <c r="B103" s="19">
        <v>90</v>
      </c>
      <c r="C103" s="23">
        <v>53</v>
      </c>
      <c r="D103" s="24">
        <v>62.03</v>
      </c>
    </row>
    <row r="104" spans="2:4">
      <c r="B104" s="19">
        <v>91</v>
      </c>
      <c r="C104" s="23">
        <v>61</v>
      </c>
      <c r="D104" s="24">
        <v>80.44</v>
      </c>
    </row>
    <row r="105" spans="2:4">
      <c r="B105" s="19">
        <v>92</v>
      </c>
      <c r="C105" s="23">
        <v>47</v>
      </c>
      <c r="D105" s="24">
        <v>72.78</v>
      </c>
    </row>
    <row r="106" spans="2:4">
      <c r="B106" s="19">
        <v>93</v>
      </c>
      <c r="C106" s="23">
        <v>64</v>
      </c>
      <c r="D106" s="24">
        <v>83.87</v>
      </c>
    </row>
    <row r="107" spans="2:4">
      <c r="B107" s="19">
        <v>94</v>
      </c>
      <c r="C107" s="23">
        <v>63</v>
      </c>
      <c r="D107" s="24">
        <v>78.89</v>
      </c>
    </row>
    <row r="108" spans="2:4">
      <c r="B108" s="19">
        <v>95</v>
      </c>
      <c r="C108" s="23">
        <v>53</v>
      </c>
      <c r="D108" s="24">
        <v>66.260000000000005</v>
      </c>
    </row>
    <row r="109" spans="2:4">
      <c r="B109" s="19">
        <v>96</v>
      </c>
      <c r="C109" s="23">
        <v>69</v>
      </c>
      <c r="D109" s="24">
        <v>89.51</v>
      </c>
    </row>
    <row r="110" spans="2:4">
      <c r="B110" s="19">
        <v>97</v>
      </c>
      <c r="C110" s="23">
        <v>75</v>
      </c>
      <c r="D110" s="24">
        <v>65.11</v>
      </c>
    </row>
    <row r="111" spans="2:4">
      <c r="B111" s="19">
        <v>98</v>
      </c>
      <c r="C111" s="23">
        <v>74</v>
      </c>
      <c r="D111" s="24">
        <v>69.89</v>
      </c>
    </row>
    <row r="112" spans="2:4">
      <c r="B112" s="19">
        <v>99</v>
      </c>
      <c r="C112" s="23">
        <v>55</v>
      </c>
      <c r="D112" s="24">
        <v>61.57</v>
      </c>
    </row>
    <row r="113" spans="2:4">
      <c r="B113" s="25">
        <v>100</v>
      </c>
      <c r="C113" s="26">
        <v>72</v>
      </c>
      <c r="D113" s="27">
        <v>77.319999999999993</v>
      </c>
    </row>
    <row r="114" spans="2:4">
      <c r="B114" s="12"/>
      <c r="C114" s="12"/>
      <c r="D114" s="12"/>
    </row>
    <row r="115" spans="2:4">
      <c r="B115" s="12"/>
      <c r="C115" s="10"/>
      <c r="D115" s="12"/>
    </row>
    <row r="1048576" ht="15.75"/>
  </sheetData>
  <mergeCells count="8">
    <mergeCell ref="E8:G8"/>
    <mergeCell ref="E9:G9"/>
    <mergeCell ref="E10:G10"/>
    <mergeCell ref="B2:F2"/>
    <mergeCell ref="E4:G4"/>
    <mergeCell ref="E5:G5"/>
    <mergeCell ref="E6:G6"/>
    <mergeCell ref="E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3454-A122-7D4E-B056-D8C6A87707F1}">
  <dimension ref="A1:J40"/>
  <sheetViews>
    <sheetView tabSelected="1" topLeftCell="A3" workbookViewId="0">
      <selection activeCell="E34" sqref="E34"/>
    </sheetView>
  </sheetViews>
  <sheetFormatPr defaultColWidth="11" defaultRowHeight="15.95"/>
  <cols>
    <col min="1" max="1" width="30.125" bestFit="1" customWidth="1"/>
    <col min="2" max="2" width="22" customWidth="1"/>
    <col min="3" max="3" width="16.625" customWidth="1"/>
    <col min="4" max="4" width="16.875" customWidth="1"/>
    <col min="5" max="5" width="12.125" customWidth="1"/>
    <col min="6" max="6" width="16.125" customWidth="1"/>
    <col min="7" max="7" width="12.75" bestFit="1" customWidth="1"/>
    <col min="8" max="8" width="23.125" bestFit="1" customWidth="1"/>
    <col min="9" max="9" width="20" bestFit="1" customWidth="1"/>
    <col min="10" max="10" width="15.625" bestFit="1" customWidth="1"/>
  </cols>
  <sheetData>
    <row r="1" spans="1:7">
      <c r="A1" s="5" t="s">
        <v>68</v>
      </c>
    </row>
    <row r="2" spans="1:7">
      <c r="A2" s="4" t="s">
        <v>69</v>
      </c>
      <c r="B2" s="4" t="s">
        <v>70</v>
      </c>
      <c r="C2" s="4" t="s">
        <v>71</v>
      </c>
      <c r="D2" s="4" t="s">
        <v>72</v>
      </c>
      <c r="F2" t="s">
        <v>73</v>
      </c>
    </row>
    <row r="3" spans="1:7">
      <c r="A3" s="2" t="s">
        <v>74</v>
      </c>
      <c r="B3" s="3" t="s">
        <v>75</v>
      </c>
      <c r="C3" s="3">
        <v>13200</v>
      </c>
      <c r="D3" s="3" t="s">
        <v>76</v>
      </c>
      <c r="F3">
        <f>C5*C6*60</f>
        <v>120000</v>
      </c>
    </row>
    <row r="4" spans="1:7">
      <c r="A4" s="2" t="s">
        <v>77</v>
      </c>
      <c r="B4" s="3" t="s">
        <v>78</v>
      </c>
      <c r="C4" s="3">
        <v>800000</v>
      </c>
      <c r="D4" s="3" t="s">
        <v>79</v>
      </c>
    </row>
    <row r="5" spans="1:7">
      <c r="A5" s="2" t="s">
        <v>80</v>
      </c>
      <c r="B5" s="3" t="s">
        <v>81</v>
      </c>
      <c r="C5" s="3">
        <v>8</v>
      </c>
      <c r="D5" s="3" t="s">
        <v>82</v>
      </c>
    </row>
    <row r="6" spans="1:7">
      <c r="A6" s="2" t="s">
        <v>83</v>
      </c>
      <c r="B6" s="3" t="s">
        <v>84</v>
      </c>
      <c r="C6" s="3">
        <v>250</v>
      </c>
      <c r="D6" s="3" t="s">
        <v>85</v>
      </c>
    </row>
    <row r="7" spans="1:7">
      <c r="A7" s="2" t="s">
        <v>86</v>
      </c>
      <c r="B7" s="3" t="s">
        <v>87</v>
      </c>
      <c r="C7" s="3">
        <v>1</v>
      </c>
      <c r="D7" s="3" t="s">
        <v>88</v>
      </c>
    </row>
    <row r="8" spans="1:7">
      <c r="A8" s="2" t="s">
        <v>89</v>
      </c>
      <c r="B8" s="3" t="s">
        <v>90</v>
      </c>
      <c r="C8" s="3">
        <v>1.2</v>
      </c>
      <c r="D8" s="3" t="s">
        <v>88</v>
      </c>
    </row>
    <row r="9" spans="1:7">
      <c r="A9" s="2" t="s">
        <v>91</v>
      </c>
      <c r="B9" s="3" t="s">
        <v>92</v>
      </c>
      <c r="C9" s="3">
        <v>6</v>
      </c>
      <c r="D9" s="3" t="s">
        <v>88</v>
      </c>
    </row>
    <row r="10" spans="1:7">
      <c r="A10" s="2" t="s">
        <v>93</v>
      </c>
      <c r="B10" s="3" t="s">
        <v>94</v>
      </c>
      <c r="C10" s="3">
        <v>3.2</v>
      </c>
      <c r="D10" s="3" t="s">
        <v>88</v>
      </c>
    </row>
    <row r="11" spans="1:7">
      <c r="A11" s="2" t="s">
        <v>95</v>
      </c>
      <c r="B11" s="3" t="s">
        <v>96</v>
      </c>
      <c r="C11" s="3">
        <v>0.4</v>
      </c>
      <c r="D11" s="3" t="s">
        <v>88</v>
      </c>
    </row>
    <row r="12" spans="1:7">
      <c r="A12" s="2" t="s">
        <v>97</v>
      </c>
      <c r="B12" s="3" t="s">
        <v>98</v>
      </c>
      <c r="C12" s="3">
        <v>48</v>
      </c>
      <c r="D12" s="3" t="s">
        <v>99</v>
      </c>
    </row>
    <row r="13" spans="1:7">
      <c r="A13" s="2" t="s">
        <v>100</v>
      </c>
      <c r="B13" s="3" t="s">
        <v>101</v>
      </c>
      <c r="C13" s="3">
        <v>2</v>
      </c>
      <c r="D13" s="3" t="s">
        <v>99</v>
      </c>
    </row>
    <row r="15" spans="1:7">
      <c r="A15" s="5" t="s">
        <v>102</v>
      </c>
    </row>
    <row r="16" spans="1:7" ht="33.950000000000003">
      <c r="A16" s="7" t="s">
        <v>103</v>
      </c>
      <c r="B16" s="7" t="s">
        <v>104</v>
      </c>
      <c r="C16" s="7" t="s">
        <v>105</v>
      </c>
      <c r="D16" s="7" t="s">
        <v>106</v>
      </c>
      <c r="E16" t="s">
        <v>107</v>
      </c>
      <c r="F16" t="s">
        <v>108</v>
      </c>
      <c r="G16" t="s">
        <v>109</v>
      </c>
    </row>
    <row r="17" spans="1:10">
      <c r="A17" s="2" t="s">
        <v>110</v>
      </c>
      <c r="B17" s="2">
        <v>2600</v>
      </c>
      <c r="C17" s="2">
        <v>9200</v>
      </c>
      <c r="D17" s="2">
        <v>9</v>
      </c>
      <c r="E17">
        <f>$C$3/B17</f>
        <v>5.0769230769230766</v>
      </c>
      <c r="F17">
        <f>ROUNDUP($C$3*D17/$F$3,0)</f>
        <v>1</v>
      </c>
      <c r="G17">
        <f>C17*B17+F17*$C$4</f>
        <v>24720000</v>
      </c>
      <c r="H17" t="s">
        <v>111</v>
      </c>
      <c r="I17" t="s">
        <v>112</v>
      </c>
    </row>
    <row r="18" spans="1:10">
      <c r="A18" s="2" t="s">
        <v>113</v>
      </c>
      <c r="B18" s="2">
        <v>2200</v>
      </c>
      <c r="C18" s="2">
        <v>8200</v>
      </c>
      <c r="D18" s="2">
        <v>10.8</v>
      </c>
      <c r="E18">
        <f>$C$3/B18</f>
        <v>6</v>
      </c>
      <c r="F18">
        <f>ROUNDUP($C$3*D18/$F$3,0)</f>
        <v>2</v>
      </c>
      <c r="G18">
        <f>C18*B18+F18*$C$4</f>
        <v>19640000</v>
      </c>
      <c r="H18">
        <f>60/D18*F18</f>
        <v>11.111111111111111</v>
      </c>
      <c r="I18">
        <f>H18*C5</f>
        <v>88.888888888888886</v>
      </c>
    </row>
    <row r="20" spans="1:10">
      <c r="A20" s="5" t="s">
        <v>114</v>
      </c>
    </row>
    <row r="21" spans="1:10" ht="46.5">
      <c r="A21" s="7" t="s">
        <v>115</v>
      </c>
      <c r="B21" s="7" t="s">
        <v>116</v>
      </c>
      <c r="C21" s="7" t="s">
        <v>117</v>
      </c>
      <c r="D21" s="7" t="s">
        <v>118</v>
      </c>
      <c r="E21" s="7" t="s">
        <v>119</v>
      </c>
      <c r="F21" s="7" t="s">
        <v>120</v>
      </c>
      <c r="G21" s="6" t="s">
        <v>121</v>
      </c>
      <c r="H21" s="6" t="s">
        <v>122</v>
      </c>
      <c r="I21" t="s">
        <v>123</v>
      </c>
      <c r="J21" t="s">
        <v>124</v>
      </c>
    </row>
    <row r="22" spans="1:10">
      <c r="A22" s="2" t="s">
        <v>125</v>
      </c>
      <c r="B22" s="2" t="s">
        <v>126</v>
      </c>
      <c r="C22" s="2">
        <v>3200</v>
      </c>
      <c r="D22" s="2">
        <v>1.1499999999999999</v>
      </c>
      <c r="E22" s="2">
        <v>2</v>
      </c>
      <c r="F22" s="2">
        <v>950</v>
      </c>
      <c r="G22">
        <f>MIN(ROUNDDOWN($C$9/D22,0),E22)</f>
        <v>2</v>
      </c>
      <c r="H22">
        <f>ROUNDUP(C22/G22,0)</f>
        <v>1600</v>
      </c>
      <c r="I22">
        <f>$C$7*$C$8*H22</f>
        <v>1920</v>
      </c>
      <c r="J22">
        <f>I22*6</f>
        <v>11520</v>
      </c>
    </row>
    <row r="23" spans="1:10">
      <c r="A23" s="2" t="s">
        <v>127</v>
      </c>
      <c r="B23" s="2" t="s">
        <v>128</v>
      </c>
      <c r="C23" s="2">
        <v>2800</v>
      </c>
      <c r="D23" s="2">
        <v>1.25</v>
      </c>
      <c r="E23" s="2">
        <v>3</v>
      </c>
      <c r="F23" s="2">
        <v>730</v>
      </c>
      <c r="G23">
        <f t="shared" ref="G23:G25" si="0">MIN(ROUNDDOWN($C$9/D23,0),E23)</f>
        <v>3</v>
      </c>
      <c r="H23">
        <f t="shared" ref="H23:H26" si="1">ROUNDUP(C23/G23,0)</f>
        <v>934</v>
      </c>
      <c r="I23">
        <f t="shared" ref="I23:I26" si="2">$C$7*$C$8*H23</f>
        <v>1120.8</v>
      </c>
      <c r="J23">
        <f t="shared" ref="J23:J26" si="3">I23*6</f>
        <v>6724.7999999999993</v>
      </c>
    </row>
    <row r="24" spans="1:10">
      <c r="A24" s="2" t="s">
        <v>129</v>
      </c>
      <c r="B24" s="2" t="s">
        <v>130</v>
      </c>
      <c r="C24" s="2">
        <v>4200</v>
      </c>
      <c r="D24" s="2">
        <v>1.35</v>
      </c>
      <c r="E24" s="2">
        <v>4</v>
      </c>
      <c r="F24" s="2">
        <v>520</v>
      </c>
      <c r="G24">
        <f t="shared" si="0"/>
        <v>4</v>
      </c>
      <c r="H24">
        <f t="shared" si="1"/>
        <v>1050</v>
      </c>
      <c r="I24">
        <f t="shared" si="2"/>
        <v>1260</v>
      </c>
      <c r="J24">
        <f t="shared" si="3"/>
        <v>7560</v>
      </c>
    </row>
    <row r="25" spans="1:10">
      <c r="A25" s="2" t="s">
        <v>131</v>
      </c>
      <c r="B25" s="2" t="s">
        <v>132</v>
      </c>
      <c r="C25" s="2">
        <v>3000</v>
      </c>
      <c r="D25" s="2">
        <v>1.2</v>
      </c>
      <c r="E25" s="2">
        <v>5</v>
      </c>
      <c r="F25" s="2">
        <v>410</v>
      </c>
      <c r="G25">
        <f t="shared" si="0"/>
        <v>5</v>
      </c>
      <c r="H25">
        <f t="shared" si="1"/>
        <v>600</v>
      </c>
      <c r="I25">
        <f t="shared" si="2"/>
        <v>720</v>
      </c>
      <c r="J25">
        <f t="shared" si="3"/>
        <v>4320</v>
      </c>
    </row>
    <row r="26" spans="1:10">
      <c r="G26" t="s">
        <v>133</v>
      </c>
      <c r="H26">
        <f>SUM(H22:H25)</f>
        <v>4184</v>
      </c>
      <c r="I26">
        <f t="shared" si="2"/>
        <v>5020.8</v>
      </c>
      <c r="J26">
        <f t="shared" si="3"/>
        <v>30124.800000000003</v>
      </c>
    </row>
    <row r="27" spans="1:10">
      <c r="A27" s="5" t="s">
        <v>134</v>
      </c>
    </row>
    <row r="28" spans="1:10" ht="17.100000000000001">
      <c r="A28" s="7" t="s">
        <v>135</v>
      </c>
    </row>
    <row r="29" spans="1:10">
      <c r="A29" s="8">
        <v>1</v>
      </c>
      <c r="D29" s="43">
        <v>2.7</v>
      </c>
    </row>
    <row r="30" spans="1:10">
      <c r="A30" s="8">
        <v>2</v>
      </c>
    </row>
    <row r="31" spans="1:10">
      <c r="A31" s="8">
        <v>3</v>
      </c>
      <c r="D31" t="s">
        <v>136</v>
      </c>
    </row>
    <row r="32" spans="1:10">
      <c r="A32" s="8">
        <v>4</v>
      </c>
      <c r="D32" t="s">
        <v>135</v>
      </c>
      <c r="E32" t="s">
        <v>137</v>
      </c>
      <c r="F32" t="s">
        <v>138</v>
      </c>
      <c r="G32" t="s">
        <v>139</v>
      </c>
      <c r="H32" t="s">
        <v>140</v>
      </c>
    </row>
    <row r="33" spans="1:4">
      <c r="A33" s="8">
        <v>5</v>
      </c>
      <c r="D33">
        <v>1</v>
      </c>
    </row>
    <row r="34" spans="1:4">
      <c r="A34" s="8">
        <v>6</v>
      </c>
      <c r="D34">
        <v>2</v>
      </c>
    </row>
    <row r="35" spans="1:4">
      <c r="A35" s="8">
        <v>7</v>
      </c>
      <c r="D35">
        <v>3</v>
      </c>
    </row>
    <row r="36" spans="1:4">
      <c r="A36" s="8">
        <v>8</v>
      </c>
      <c r="D36">
        <v>4</v>
      </c>
    </row>
    <row r="37" spans="1:4">
      <c r="D37">
        <v>5</v>
      </c>
    </row>
    <row r="38" spans="1:4">
      <c r="D38">
        <v>6</v>
      </c>
    </row>
    <row r="39" spans="1:4">
      <c r="D39">
        <v>7</v>
      </c>
    </row>
    <row r="40" spans="1:4">
      <c r="D4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DA21-E2F7-B24E-83A1-4D90CDE7A419}">
  <dimension ref="A1:F44"/>
  <sheetViews>
    <sheetView topLeftCell="A2" workbookViewId="0">
      <selection activeCell="P32" sqref="P32"/>
    </sheetView>
  </sheetViews>
  <sheetFormatPr defaultColWidth="11" defaultRowHeight="15.95"/>
  <cols>
    <col min="1" max="1" width="38.125" bestFit="1" customWidth="1"/>
  </cols>
  <sheetData>
    <row r="1" spans="1:4">
      <c r="A1" s="5" t="s">
        <v>141</v>
      </c>
    </row>
    <row r="2" spans="1:4" ht="17.100000000000001">
      <c r="A2" s="7" t="s">
        <v>1</v>
      </c>
      <c r="B2" s="7" t="s">
        <v>70</v>
      </c>
      <c r="C2" s="7" t="s">
        <v>2</v>
      </c>
      <c r="D2" s="7" t="s">
        <v>72</v>
      </c>
    </row>
    <row r="3" spans="1:4">
      <c r="A3" s="2" t="s">
        <v>142</v>
      </c>
      <c r="B3" s="9" t="s">
        <v>21</v>
      </c>
      <c r="C3" s="9">
        <v>125</v>
      </c>
      <c r="D3" s="9" t="s">
        <v>143</v>
      </c>
    </row>
    <row r="4" spans="1:4">
      <c r="A4" s="2" t="s">
        <v>144</v>
      </c>
      <c r="B4" s="9" t="s">
        <v>18</v>
      </c>
      <c r="C4" s="9">
        <v>3</v>
      </c>
      <c r="D4" s="9" t="s">
        <v>143</v>
      </c>
    </row>
    <row r="5" spans="1:4">
      <c r="A5" s="2" t="s">
        <v>145</v>
      </c>
      <c r="B5" s="9" t="s">
        <v>146</v>
      </c>
      <c r="C5" s="9">
        <v>0.01</v>
      </c>
      <c r="D5" s="9" t="s">
        <v>147</v>
      </c>
    </row>
    <row r="6" spans="1:4">
      <c r="A6" s="2" t="s">
        <v>148</v>
      </c>
      <c r="B6" s="9" t="s">
        <v>149</v>
      </c>
      <c r="C6" s="9">
        <v>0.05</v>
      </c>
      <c r="D6" s="9" t="s">
        <v>147</v>
      </c>
    </row>
    <row r="8" spans="1:4">
      <c r="A8" s="5" t="s">
        <v>150</v>
      </c>
    </row>
    <row r="9" spans="1:4" ht="17.100000000000001">
      <c r="A9" s="7" t="s">
        <v>69</v>
      </c>
      <c r="B9" s="7" t="s">
        <v>151</v>
      </c>
      <c r="C9" s="7" t="s">
        <v>2</v>
      </c>
      <c r="D9" s="7" t="s">
        <v>72</v>
      </c>
    </row>
    <row r="10" spans="1:4">
      <c r="A10" s="2" t="s">
        <v>152</v>
      </c>
      <c r="B10" s="9" t="s">
        <v>153</v>
      </c>
      <c r="C10" s="9">
        <v>500</v>
      </c>
      <c r="D10" s="9" t="s">
        <v>154</v>
      </c>
    </row>
    <row r="11" spans="1:4">
      <c r="A11" s="2" t="s">
        <v>155</v>
      </c>
      <c r="B11" s="9" t="s">
        <v>156</v>
      </c>
      <c r="C11" s="9">
        <v>5</v>
      </c>
      <c r="D11" s="9" t="s">
        <v>154</v>
      </c>
    </row>
    <row r="12" spans="1:4">
      <c r="A12" s="2" t="s">
        <v>157</v>
      </c>
      <c r="B12" s="9" t="s">
        <v>158</v>
      </c>
      <c r="C12" s="9">
        <v>5</v>
      </c>
      <c r="D12" s="9" t="s">
        <v>159</v>
      </c>
    </row>
    <row r="13" spans="1:4">
      <c r="A13" s="2" t="s">
        <v>160</v>
      </c>
      <c r="B13" s="9" t="s">
        <v>161</v>
      </c>
      <c r="C13" s="9">
        <v>0.57699999999999996</v>
      </c>
      <c r="D13" s="9" t="s">
        <v>162</v>
      </c>
    </row>
    <row r="14" spans="1:4">
      <c r="A14" s="2" t="s">
        <v>163</v>
      </c>
      <c r="B14" s="9" t="s">
        <v>164</v>
      </c>
      <c r="C14" s="9">
        <v>0</v>
      </c>
      <c r="D14" s="9" t="s">
        <v>162</v>
      </c>
    </row>
    <row r="15" spans="1:4">
      <c r="A15" s="2" t="s">
        <v>163</v>
      </c>
      <c r="B15" s="9" t="s">
        <v>165</v>
      </c>
      <c r="C15" s="9">
        <v>2.1139999999999999</v>
      </c>
      <c r="D15" s="9" t="s">
        <v>162</v>
      </c>
    </row>
    <row r="16" spans="1:4">
      <c r="A16" s="2" t="s">
        <v>166</v>
      </c>
      <c r="B16" s="9" t="s">
        <v>167</v>
      </c>
      <c r="C16" s="9">
        <v>502.2</v>
      </c>
      <c r="D16" s="9" t="s">
        <v>154</v>
      </c>
    </row>
    <row r="17" spans="1:6">
      <c r="A17" s="2" t="s">
        <v>168</v>
      </c>
      <c r="B17" s="9" t="s">
        <v>169</v>
      </c>
      <c r="C17" s="9">
        <v>2.19</v>
      </c>
      <c r="D17" s="9" t="s">
        <v>154</v>
      </c>
    </row>
    <row r="18" spans="1:6">
      <c r="A18" s="2" t="s">
        <v>170</v>
      </c>
      <c r="B18" s="9" t="s">
        <v>171</v>
      </c>
      <c r="C18" s="9">
        <v>1.25</v>
      </c>
      <c r="D18" s="9" t="s">
        <v>154</v>
      </c>
    </row>
    <row r="19" spans="1:6">
      <c r="A19" s="2" t="s">
        <v>172</v>
      </c>
      <c r="B19" s="9" t="s">
        <v>26</v>
      </c>
      <c r="C19" s="9">
        <v>60000</v>
      </c>
      <c r="D19" s="9" t="s">
        <v>173</v>
      </c>
    </row>
    <row r="20" spans="1:6">
      <c r="A20" s="2" t="s">
        <v>174</v>
      </c>
      <c r="B20" s="9" t="s">
        <v>175</v>
      </c>
      <c r="C20" s="9">
        <v>1600000</v>
      </c>
      <c r="D20" s="9" t="s">
        <v>176</v>
      </c>
    </row>
    <row r="21" spans="1:6">
      <c r="A21" s="2" t="s">
        <v>177</v>
      </c>
      <c r="B21" s="9" t="s">
        <v>88</v>
      </c>
      <c r="C21" s="9">
        <v>250</v>
      </c>
      <c r="D21" s="9" t="s">
        <v>178</v>
      </c>
    </row>
    <row r="23" spans="1:6">
      <c r="A23" s="5" t="s">
        <v>179</v>
      </c>
    </row>
    <row r="24" spans="1:6">
      <c r="A24" s="1" t="s">
        <v>180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185</v>
      </c>
    </row>
    <row r="25" spans="1:6">
      <c r="A25" s="9">
        <v>1</v>
      </c>
      <c r="B25" s="9">
        <v>500.5</v>
      </c>
      <c r="C25" s="9">
        <v>501</v>
      </c>
      <c r="D25" s="9">
        <v>506.7</v>
      </c>
      <c r="E25" s="9">
        <v>500.7</v>
      </c>
      <c r="F25" s="9">
        <v>498.5</v>
      </c>
    </row>
    <row r="26" spans="1:6">
      <c r="A26" s="9">
        <v>2</v>
      </c>
      <c r="B26" s="9">
        <v>502.4</v>
      </c>
      <c r="C26" s="9">
        <v>502.1</v>
      </c>
      <c r="D26" s="9">
        <v>503.3</v>
      </c>
      <c r="E26" s="9">
        <v>500.9</v>
      </c>
      <c r="F26" s="9">
        <v>505.1</v>
      </c>
    </row>
    <row r="27" spans="1:6">
      <c r="A27" s="9">
        <v>3</v>
      </c>
      <c r="B27" s="9">
        <v>503.1</v>
      </c>
      <c r="C27" s="9">
        <v>507.5</v>
      </c>
      <c r="D27" s="9">
        <v>503.1</v>
      </c>
      <c r="E27" s="9">
        <v>502.4</v>
      </c>
      <c r="F27" s="9">
        <v>505</v>
      </c>
    </row>
    <row r="28" spans="1:6">
      <c r="A28" s="9">
        <v>4</v>
      </c>
      <c r="B28" s="9">
        <v>503.8</v>
      </c>
      <c r="C28" s="9">
        <v>500.1</v>
      </c>
      <c r="D28" s="9">
        <v>503.6</v>
      </c>
      <c r="E28" s="9">
        <v>500.3</v>
      </c>
      <c r="F28" s="9">
        <v>504.6</v>
      </c>
    </row>
    <row r="29" spans="1:6">
      <c r="A29" s="9">
        <v>5</v>
      </c>
      <c r="B29" s="9">
        <v>500.5</v>
      </c>
      <c r="C29" s="9">
        <v>502.6</v>
      </c>
      <c r="D29" s="9">
        <v>500</v>
      </c>
      <c r="E29" s="9">
        <v>502.6</v>
      </c>
      <c r="F29" s="9">
        <v>504.9</v>
      </c>
    </row>
    <row r="30" spans="1:6">
      <c r="A30" s="9">
        <v>6</v>
      </c>
      <c r="B30" s="9">
        <v>504.4</v>
      </c>
      <c r="C30" s="9">
        <v>500.4</v>
      </c>
      <c r="D30" s="9">
        <v>498.8</v>
      </c>
      <c r="E30" s="9">
        <v>503.4</v>
      </c>
      <c r="F30" s="9">
        <v>500.3</v>
      </c>
    </row>
    <row r="31" spans="1:6">
      <c r="A31" s="9">
        <v>7</v>
      </c>
      <c r="B31" s="9">
        <v>500.1</v>
      </c>
      <c r="C31" s="9">
        <v>503.4</v>
      </c>
      <c r="D31" s="9">
        <v>499</v>
      </c>
      <c r="E31" s="9">
        <v>503.6</v>
      </c>
      <c r="F31" s="9">
        <v>504.2</v>
      </c>
    </row>
    <row r="32" spans="1:6">
      <c r="A32" s="9">
        <v>8</v>
      </c>
      <c r="B32" s="9">
        <v>501.9</v>
      </c>
      <c r="C32" s="9">
        <v>499.8</v>
      </c>
      <c r="D32" s="9">
        <v>501.3</v>
      </c>
      <c r="E32" s="9">
        <v>505.2</v>
      </c>
      <c r="F32" s="9">
        <v>502.2</v>
      </c>
    </row>
    <row r="33" spans="1:6">
      <c r="A33" s="9">
        <v>9</v>
      </c>
      <c r="B33" s="9">
        <v>504.6</v>
      </c>
      <c r="C33" s="9">
        <v>501.9</v>
      </c>
      <c r="D33" s="9">
        <v>502.1</v>
      </c>
      <c r="E33" s="9">
        <v>502.2</v>
      </c>
      <c r="F33" s="9">
        <v>502.1</v>
      </c>
    </row>
    <row r="34" spans="1:6">
      <c r="A34" s="9">
        <v>10</v>
      </c>
      <c r="B34" s="9">
        <v>502.5</v>
      </c>
      <c r="C34" s="9">
        <v>503.7</v>
      </c>
      <c r="D34" s="9">
        <v>504.5</v>
      </c>
      <c r="E34" s="9">
        <v>501.5</v>
      </c>
      <c r="F34" s="9">
        <v>499.7</v>
      </c>
    </row>
    <row r="35" spans="1:6">
      <c r="A35" s="9">
        <v>11</v>
      </c>
      <c r="B35" s="9">
        <v>500.3</v>
      </c>
      <c r="C35" s="9">
        <v>499.7</v>
      </c>
      <c r="D35" s="9">
        <v>497.2</v>
      </c>
      <c r="E35" s="9">
        <v>501.8</v>
      </c>
      <c r="F35" s="9">
        <v>500.1</v>
      </c>
    </row>
    <row r="36" spans="1:6">
      <c r="A36" s="9">
        <v>12</v>
      </c>
      <c r="B36" s="9">
        <v>505.9</v>
      </c>
      <c r="C36" s="9">
        <v>500.5</v>
      </c>
      <c r="D36" s="9">
        <v>498.6</v>
      </c>
      <c r="E36" s="9">
        <v>502.7</v>
      </c>
      <c r="F36" s="9">
        <v>501.8</v>
      </c>
    </row>
    <row r="37" spans="1:6">
      <c r="A37" s="9">
        <v>13</v>
      </c>
      <c r="B37" s="9">
        <v>503.8</v>
      </c>
      <c r="C37" s="9">
        <v>502.2</v>
      </c>
      <c r="D37" s="9">
        <v>506</v>
      </c>
      <c r="E37" s="9">
        <v>500.2</v>
      </c>
      <c r="F37" s="9">
        <v>502.3</v>
      </c>
    </row>
    <row r="38" spans="1:6">
      <c r="A38" s="9">
        <v>14</v>
      </c>
      <c r="B38" s="9">
        <v>500.8</v>
      </c>
      <c r="C38" s="9">
        <v>500.7</v>
      </c>
      <c r="D38" s="9">
        <v>498.1</v>
      </c>
      <c r="E38" s="9">
        <v>503.2</v>
      </c>
      <c r="F38" s="9">
        <v>498.1</v>
      </c>
    </row>
    <row r="39" spans="1:6">
      <c r="A39" s="9">
        <v>15</v>
      </c>
      <c r="B39" s="9">
        <v>502.6</v>
      </c>
      <c r="C39" s="9">
        <v>502.8</v>
      </c>
      <c r="D39" s="9">
        <v>502.7</v>
      </c>
      <c r="E39" s="9">
        <v>498.2</v>
      </c>
      <c r="F39" s="9">
        <v>503.6</v>
      </c>
    </row>
    <row r="40" spans="1:6">
      <c r="A40" s="9">
        <v>16</v>
      </c>
      <c r="B40" s="9">
        <v>500.2</v>
      </c>
      <c r="C40" s="9">
        <v>502.7</v>
      </c>
      <c r="D40" s="9">
        <v>501</v>
      </c>
      <c r="E40" s="9">
        <v>506.2</v>
      </c>
      <c r="F40" s="9">
        <v>500.5</v>
      </c>
    </row>
    <row r="41" spans="1:6">
      <c r="A41" s="9">
        <v>17</v>
      </c>
      <c r="B41" s="9">
        <v>501.3</v>
      </c>
      <c r="C41" s="9">
        <v>502.5</v>
      </c>
      <c r="D41" s="9">
        <v>498.5</v>
      </c>
      <c r="E41" s="9">
        <v>500.7</v>
      </c>
      <c r="F41" s="9">
        <v>501.3</v>
      </c>
    </row>
    <row r="42" spans="1:6">
      <c r="A42" s="9">
        <v>18</v>
      </c>
      <c r="B42" s="9">
        <v>502.4</v>
      </c>
      <c r="C42" s="9">
        <v>501</v>
      </c>
      <c r="D42" s="9">
        <v>505.8</v>
      </c>
      <c r="E42" s="9">
        <v>506.2</v>
      </c>
      <c r="F42" s="9">
        <v>504.6</v>
      </c>
    </row>
    <row r="43" spans="1:6">
      <c r="A43" s="9">
        <v>19</v>
      </c>
      <c r="B43" s="9">
        <v>501.8</v>
      </c>
      <c r="C43" s="9">
        <v>503.3</v>
      </c>
      <c r="D43" s="9">
        <v>506.5</v>
      </c>
      <c r="E43" s="9">
        <v>505.8</v>
      </c>
      <c r="F43" s="9">
        <v>503.3</v>
      </c>
    </row>
    <row r="44" spans="1:6">
      <c r="A44" s="9">
        <v>20</v>
      </c>
      <c r="B44" s="9">
        <v>500.6</v>
      </c>
      <c r="C44" s="9">
        <v>504.4</v>
      </c>
      <c r="D44" s="9">
        <v>503.6</v>
      </c>
      <c r="E44" s="9">
        <v>502</v>
      </c>
      <c r="F44" s="9">
        <v>501.5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Enrique Molina Monje</dc:creator>
  <cp:keywords/>
  <dc:description/>
  <cp:lastModifiedBy>César Antonio Meneses Espinoza</cp:lastModifiedBy>
  <cp:revision/>
  <dcterms:created xsi:type="dcterms:W3CDTF">2026-06-06T15:47:16Z</dcterms:created>
  <dcterms:modified xsi:type="dcterms:W3CDTF">2026-06-22T01:24:40Z</dcterms:modified>
  <cp:category/>
  <cp:contentStatus/>
</cp:coreProperties>
</file>